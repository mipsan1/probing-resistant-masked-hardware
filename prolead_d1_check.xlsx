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LEAD d=1 check" sheetId="1" state="visible" r:id="rId3"/>
    <sheet name="Value-based MI" sheetId="2" state="visible" r:id="rId4"/>
    <sheet name="Open item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<sst xmlns="http://schemas.openxmlformats.org/spreadsheetml/2006/main" count="83" uniqueCount="71">
  <si>
    <t xml:space="preserve">Masked d=1 PROLEAD run vs. manuscript (checked 2026-10-12)</t>
  </si>
  <si>
    <t xml:space="preserve">Source: prolead_results/masked_d1_post_barrier/ (masked_prolead_stdout.log, prolead_circuit_0_0_512000_leakages.json). Blue = value read from the files / manuscript; black = formula.</t>
  </si>
  <si>
    <t xml:space="preserve">Item</t>
  </si>
  <si>
    <t xml:space="preserve">Raw data (run of 2026-07-19)</t>
  </si>
  <si>
    <t xml:space="preserve">Manuscript</t>
  </si>
  <si>
    <t xml:space="preserve">Match?</t>
  </si>
  <si>
    <t xml:space="preserve">Note</t>
  </si>
  <si>
    <t xml:space="preserve">Simulations</t>
  </si>
  <si>
    <t xml:space="preserve">Log and JSON agree</t>
  </si>
  <si>
    <t xml:space="preserve">Probing sets</t>
  </si>
  <si>
    <t xml:space="preserve">Minimization removed 800 of 15,200 covered sets</t>
  </si>
  <si>
    <t xml:space="preserve">Leaking sets</t>
  </si>
  <si>
    <t xml:space="preserve">Worst -log10(p)</t>
  </si>
  <si>
    <t xml:space="preserve">Manuscript rounds to 3 decimals; tolerance 0.001</t>
  </si>
  <si>
    <t xml:space="preserve">Fresh mask bits</t>
  </si>
  <si>
    <t xml:space="preserve">randomIn[55:0] matched in log (7 bytes)</t>
  </si>
  <si>
    <t xml:space="preserve">All rows match?</t>
  </si>
  <si>
    <t xml:space="preserve">Bonferroni threshold -log10(0.05/N)</t>
  </si>
  <si>
    <t xml:space="preserve">Margin below threshold</t>
  </si>
  <si>
    <t xml:space="preserve">Progress of the run (from log)</t>
  </si>
  <si>
    <t xml:space="preserve">Elapsed (min)</t>
  </si>
  <si>
    <t xml:space="preserve">Status</t>
  </si>
  <si>
    <t xml:space="preserve">Elapsed minutes converted from the log timestamps (hh:mm:ss shown as 0-00:04:24 etc.). Note: the 384k step peaked at 4.21, still below the threshold; the final 512k step is the reported figure.</t>
  </si>
  <si>
    <t xml:space="preserve">probe_results/d1_value_based_mi.json (value-based MI / TVLA summary, d=1)</t>
  </si>
  <si>
    <t xml:space="preserve">Metric</t>
  </si>
  <si>
    <t xml:space="preserve">Plug-in</t>
  </si>
  <si>
    <t xml:space="preserve">Miller-Madow (MM)</t>
  </si>
  <si>
    <t xml:space="preserve">Null p99</t>
  </si>
  <si>
    <t xml:space="preserve">Reading</t>
  </si>
  <si>
    <t xml:space="preserve">Max single wire (y1_out[5])</t>
  </si>
  <si>
    <t xml:space="preserve">Near null; MM ~ 0</t>
  </si>
  <si>
    <t xml:space="preserve">Max stage MI (stage 18)</t>
  </si>
  <si>
    <t xml:space="preserve">Plug-in below null p99; MM = 0</t>
  </si>
  <si>
    <t xml:space="preserve">Full-trace MI</t>
  </si>
  <si>
    <t xml:space="preserve">MM = 0</t>
  </si>
  <si>
    <t xml:space="preserve">Max bit MI (bit 5)</t>
  </si>
  <si>
    <t xml:space="preserve">Negligible</t>
  </si>
  <si>
    <t xml:space="preserve">Pair y0_out[6], y1_out[6]</t>
  </si>
  <si>
    <t xml:space="preserve">Two output shares of one bit: ~1 bit expected at d=1</t>
  </si>
  <si>
    <t xml:space="preserve">Pair plug-in exceeds null p99?</t>
  </si>
  <si>
    <t xml:space="preserve">Single-wire MM below null p99?</t>
  </si>
  <si>
    <t xml:space="preserve">TVLA</t>
  </si>
  <si>
    <t xml:space="preserve">Statistic</t>
  </si>
  <si>
    <t xml:space="preserve">Value</t>
  </si>
  <si>
    <t xml:space="preserve">max |t| conditional (stage 18)</t>
  </si>
  <si>
    <t xml:space="preserve">max |t| fixed-vs-random (stage 18)</t>
  </si>
  <si>
    <t xml:space="preserve">max 2nd-order</t>
  </si>
  <si>
    <t xml:space="preserve">max 3rd-order</t>
  </si>
  <si>
    <t xml:space="preserve">All below |t| = 4.5?</t>
  </si>
  <si>
    <t xml:space="preserve">Caveat (also in the paper): Hamming-distance traces have low detection power, so these channels are supporting evidence only.</t>
  </si>
  <si>
    <t xml:space="preserve">Status after this check</t>
  </si>
  <si>
    <t xml:space="preserve">#</t>
  </si>
  <si>
    <t xml:space="preserve">Next action</t>
  </si>
  <si>
    <t xml:space="preserve">Masked d=1 PROLEAD raw data in bundle</t>
  </si>
  <si>
    <t xml:space="preserve">Done</t>
  </si>
  <si>
    <t xml:space="preserve">None; copy into zenodo_data/prolead_results/</t>
  </si>
  <si>
    <t xml:space="preserve">Raw run netlist equals current RTL / 7-byte refresh</t>
  </si>
  <si>
    <t xml:space="preserve">Open</t>
  </si>
  <si>
    <t xml:space="preserve">Compare circuit_struct.v hash or commit with masked_sbox_first_order.v</t>
  </si>
  <si>
    <t xml:space="preserve">d=2 files (RTL, Tier-3 results, run_d2_* scripts) in share package</t>
  </si>
  <si>
    <t xml:space="preserve">Move to a clearly labelled "not evidence" folder or exclude</t>
  </si>
  <si>
    <t xml:space="preserve">Zenodo upload / DOI</t>
  </si>
  <si>
    <t xml:space="preserve">Rebuild zenodo_data.zip (dated 2026-07-29), upload, add DOI to cover letter and data-availability line</t>
  </si>
  <si>
    <t xml:space="preserve">Blind-review policy for TIFS</t>
  </si>
  <si>
    <t xml:space="preserve">Confirm in portal; decide on author info</t>
  </si>
  <si>
    <t xml:space="preserve">Lint: blinded definition vs implementation; round-1 lint result</t>
  </si>
  <si>
    <t xml:space="preserve">Review lint_real.py; add round-1 result or weaken Theorem 2</t>
  </si>
  <si>
    <t xml:space="preserve">Recompile in MiKTeX, confirm page count &lt;= 13</t>
  </si>
  <si>
    <t xml:space="preserve">Local 12 pages (TeX Live 2021)</t>
  </si>
  <si>
    <t xml:space="preserve">Portal: upload supplemental as Supplemental Material, no new submission</t>
  </si>
  <si>
    <t xml:space="preserve">At submission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</si>
</sst>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0000"/>
    <numFmt numFmtId="167" formatCode="0.000"/>
    <numFmt numFmtId="168" formatCode="0.00"/>
    <numFmt numFmtId="169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5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512000</v>
      </c>
      <c r="C5" s="5" t="n">
        <v>512000</v>
      </c>
      <c r="D5" s="4" t="str">
        <f aca="false">IF(ABS(B5-C5)&lt;=IF(A5="Worst -log10(p)",0.001,0),"OK","MISMATCH")</f>
        <v>OK</v>
      </c>
      <c r="E5" s="4" t="s">
        <v>8</v>
      </c>
    </row>
    <row r="6" customFormat="false" ht="15" hidden="false" customHeight="false" outlineLevel="0" collapsed="false">
      <c r="A6" s="4" t="s">
        <v>9</v>
      </c>
      <c r="B6" s="5" t="n">
        <v>14400</v>
      </c>
      <c r="C6" s="5" t="n">
        <v>14400</v>
      </c>
      <c r="D6" s="4" t="str">
        <f aca="false">IF(ABS(B6-C6)&lt;=IF(A6="Worst -log10(p)",0.001,0),"OK","MISMATCH")</f>
        <v>OK</v>
      </c>
      <c r="E6" s="4" t="s">
        <v>10</v>
      </c>
    </row>
    <row r="7" customFormat="false" ht="15" hidden="false" customHeight="false" outlineLevel="0" collapsed="false">
      <c r="A7" s="4" t="s">
        <v>11</v>
      </c>
      <c r="B7" s="6" t="n">
        <v>0</v>
      </c>
      <c r="C7" s="6" t="n">
        <v>0</v>
      </c>
      <c r="D7" s="4" t="str">
        <f aca="false">IF(ABS(B7-C7)&lt;=IF(A7="Worst -log10(p)",0.001,0),"OK","MISMATCH")</f>
        <v>OK</v>
      </c>
      <c r="E7" s="4"/>
    </row>
    <row r="8" customFormat="false" ht="15" hidden="false" customHeight="false" outlineLevel="0" collapsed="false">
      <c r="A8" s="4" t="s">
        <v>12</v>
      </c>
      <c r="B8" s="7" t="n">
        <v>3.386122</v>
      </c>
      <c r="C8" s="8" t="n">
        <v>3.386</v>
      </c>
      <c r="D8" s="4" t="str">
        <f aca="false">IF(ABS(B8-C8)&lt;=IF(A8="Worst -log10(p)",0.001,0),"OK","MISMATCH")</f>
        <v>OK</v>
      </c>
      <c r="E8" s="4" t="s">
        <v>13</v>
      </c>
    </row>
    <row r="9" customFormat="false" ht="15" hidden="false" customHeight="false" outlineLevel="0" collapsed="false">
      <c r="A9" s="4" t="s">
        <v>14</v>
      </c>
      <c r="B9" s="6" t="n">
        <v>56</v>
      </c>
      <c r="C9" s="6" t="n">
        <v>56</v>
      </c>
      <c r="D9" s="4" t="str">
        <f aca="false">IF(ABS(B9-C9)&lt;=IF(A9="Worst -log10(p)",0.001,0),"OK","MISMATCH")</f>
        <v>OK</v>
      </c>
      <c r="E9" s="4" t="s">
        <v>15</v>
      </c>
    </row>
    <row r="11" customFormat="false" ht="15" hidden="false" customHeight="false" outlineLevel="0" collapsed="false">
      <c r="A11" s="9" t="s">
        <v>16</v>
      </c>
      <c r="B11" s="9" t="str">
        <f aca="false">IF(COUNTIF(D5:D9,"OK")=ROWS(D5:D9),"YES","NO")</f>
        <v>YES</v>
      </c>
    </row>
    <row r="12" customFormat="false" ht="15" hidden="false" customHeight="false" outlineLevel="0" collapsed="false">
      <c r="A12" s="10" t="s">
        <v>17</v>
      </c>
      <c r="B12" s="11" t="n">
        <f aca="false">-LOG10(0.05/B6)</f>
        <v>5.45939248775923</v>
      </c>
    </row>
    <row r="13" customFormat="false" ht="15" hidden="false" customHeight="false" outlineLevel="0" collapsed="false">
      <c r="A13" s="10" t="s">
        <v>18</v>
      </c>
      <c r="B13" s="11" t="n">
        <f aca="false">B12-B8</f>
        <v>2.07327048775923</v>
      </c>
    </row>
    <row r="15" customFormat="false" ht="15" hidden="false" customHeight="false" outlineLevel="0" collapsed="false">
      <c r="A15" s="9" t="s">
        <v>19</v>
      </c>
    </row>
    <row r="16" customFormat="false" ht="15" hidden="false" customHeight="false" outlineLevel="0" collapsed="false">
      <c r="A16" s="3" t="s">
        <v>7</v>
      </c>
      <c r="B16" s="3" t="s">
        <v>20</v>
      </c>
      <c r="C16" s="3" t="s">
        <v>12</v>
      </c>
      <c r="D16" s="3" t="s">
        <v>21</v>
      </c>
    </row>
    <row r="17" customFormat="false" ht="15" hidden="false" customHeight="false" outlineLevel="0" collapsed="false">
      <c r="A17" s="5" t="n">
        <v>128000</v>
      </c>
      <c r="B17" s="6" t="n">
        <v>4.4</v>
      </c>
      <c r="C17" s="6" t="n">
        <v>3.295799</v>
      </c>
      <c r="D17" s="4" t="str">
        <f aca="false">IF(C17&lt;$B$12,"OKAY","LEAK")</f>
        <v>OKAY</v>
      </c>
    </row>
    <row r="18" customFormat="false" ht="15" hidden="false" customHeight="false" outlineLevel="0" collapsed="false">
      <c r="A18" s="5" t="n">
        <v>256000</v>
      </c>
      <c r="B18" s="6" t="n">
        <v>8.95</v>
      </c>
      <c r="C18" s="6" t="n">
        <v>2.859652</v>
      </c>
      <c r="D18" s="4" t="str">
        <f aca="false">IF(C18&lt;$B$12,"OKAY","LEAK")</f>
        <v>OKAY</v>
      </c>
    </row>
    <row r="19" customFormat="false" ht="15" hidden="false" customHeight="false" outlineLevel="0" collapsed="false">
      <c r="A19" s="5" t="n">
        <v>384000</v>
      </c>
      <c r="B19" s="6" t="n">
        <v>13.97</v>
      </c>
      <c r="C19" s="6" t="n">
        <v>4.205497</v>
      </c>
      <c r="D19" s="4" t="str">
        <f aca="false">IF(C19&lt;$B$12,"OKAY","LEAK")</f>
        <v>OKAY</v>
      </c>
    </row>
    <row r="20" customFormat="false" ht="15" hidden="false" customHeight="false" outlineLevel="0" collapsed="false">
      <c r="A20" s="5" t="n">
        <v>512000</v>
      </c>
      <c r="B20" s="6" t="n">
        <v>19.63</v>
      </c>
      <c r="C20" s="6" t="n">
        <v>3.386122</v>
      </c>
      <c r="D20" s="4" t="str">
        <f aca="false">IF(C20&lt;$B$12,"OKAY","LEAK")</f>
        <v>OKAY</v>
      </c>
    </row>
    <row r="21" customFormat="false" ht="15" hidden="false" customHeight="false" outlineLevel="0" collapsed="false">
      <c r="A21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52"/>
  </cols>
  <sheetData>
    <row r="1" customFormat="false" ht="16.15" hidden="false" customHeight="false" outlineLevel="0" collapsed="false">
      <c r="A1" s="1" t="s">
        <v>23</v>
      </c>
    </row>
    <row r="3" customFormat="false" ht="15" hidden="false" customHeight="false" outlineLevel="0" collapsed="false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</row>
    <row r="4" customFormat="false" ht="15" hidden="false" customHeight="false" outlineLevel="0" collapsed="false">
      <c r="A4" s="4" t="s">
        <v>29</v>
      </c>
      <c r="B4" s="12" t="n">
        <v>0.0219002557981673</v>
      </c>
      <c r="C4" s="12" t="n">
        <v>0.00350589402683302</v>
      </c>
      <c r="D4" s="12" t="n">
        <v>0.0226397961066656</v>
      </c>
      <c r="E4" s="4" t="s">
        <v>30</v>
      </c>
    </row>
    <row r="5" customFormat="false" ht="15" hidden="false" customHeight="false" outlineLevel="0" collapsed="false">
      <c r="A5" s="4" t="s">
        <v>31</v>
      </c>
      <c r="B5" s="12" t="n">
        <v>0.213255546716775</v>
      </c>
      <c r="C5" s="12" t="n">
        <v>0</v>
      </c>
      <c r="D5" s="12" t="n">
        <v>0.227230135471248</v>
      </c>
      <c r="E5" s="4" t="s">
        <v>32</v>
      </c>
    </row>
    <row r="6" customFormat="false" ht="15" hidden="false" customHeight="false" outlineLevel="0" collapsed="false">
      <c r="A6" s="4" t="s">
        <v>33</v>
      </c>
      <c r="B6" s="12" t="n">
        <v>0.00929205400800636</v>
      </c>
      <c r="C6" s="12" t="n">
        <v>0</v>
      </c>
      <c r="D6" s="12"/>
      <c r="E6" s="4" t="s">
        <v>34</v>
      </c>
    </row>
    <row r="7" customFormat="false" ht="15" hidden="false" customHeight="false" outlineLevel="0" collapsed="false">
      <c r="A7" s="4" t="s">
        <v>35</v>
      </c>
      <c r="B7" s="12" t="n">
        <v>0.00172300449701871</v>
      </c>
      <c r="C7" s="12" t="n">
        <v>0.000640983216351984</v>
      </c>
      <c r="D7" s="12"/>
      <c r="E7" s="4" t="s">
        <v>36</v>
      </c>
    </row>
    <row r="8" customFormat="false" ht="15" hidden="false" customHeight="false" outlineLevel="0" collapsed="false">
      <c r="A8" s="4" t="s">
        <v>37</v>
      </c>
      <c r="B8" s="12" t="n">
        <v>1.02084967476945</v>
      </c>
      <c r="C8" s="12" t="n">
        <v>0.965666589455448</v>
      </c>
      <c r="D8" s="12" t="n">
        <v>0.0627155412260542</v>
      </c>
      <c r="E8" s="4" t="s">
        <v>38</v>
      </c>
    </row>
    <row r="10" customFormat="false" ht="15" hidden="false" customHeight="false" outlineLevel="0" collapsed="false">
      <c r="A10" s="9" t="s">
        <v>39</v>
      </c>
      <c r="B10" s="10" t="str">
        <f aca="false">IF(B8&gt;D8,"YES (expected)","no")</f>
        <v>YES (expected)</v>
      </c>
    </row>
    <row r="11" customFormat="false" ht="15" hidden="false" customHeight="false" outlineLevel="0" collapsed="false">
      <c r="A11" s="9" t="s">
        <v>40</v>
      </c>
      <c r="B11" s="10" t="str">
        <f aca="false">IF(C4&lt;D4,"YES","NO")</f>
        <v>YES</v>
      </c>
    </row>
    <row r="13" customFormat="false" ht="15" hidden="false" customHeight="false" outlineLevel="0" collapsed="false">
      <c r="A13" s="9" t="s">
        <v>41</v>
      </c>
    </row>
    <row r="14" customFormat="false" ht="15" hidden="false" customHeight="false" outlineLevel="0" collapsed="false">
      <c r="A14" s="3" t="s">
        <v>42</v>
      </c>
      <c r="B14" s="3" t="s">
        <v>43</v>
      </c>
      <c r="C14" s="3"/>
      <c r="D14" s="3"/>
      <c r="E14" s="3"/>
    </row>
    <row r="15" customFormat="false" ht="15" hidden="false" customHeight="false" outlineLevel="0" collapsed="false">
      <c r="A15" s="4" t="s">
        <v>44</v>
      </c>
      <c r="B15" s="8" t="n">
        <v>0.917191382472924</v>
      </c>
    </row>
    <row r="16" customFormat="false" ht="15" hidden="false" customHeight="false" outlineLevel="0" collapsed="false">
      <c r="A16" s="4" t="s">
        <v>45</v>
      </c>
      <c r="B16" s="8" t="n">
        <v>0.348430099649483</v>
      </c>
    </row>
    <row r="17" customFormat="false" ht="15" hidden="false" customHeight="false" outlineLevel="0" collapsed="false">
      <c r="A17" s="4" t="s">
        <v>46</v>
      </c>
      <c r="B17" s="8" t="n">
        <v>1.28452139050331</v>
      </c>
    </row>
    <row r="18" customFormat="false" ht="15" hidden="false" customHeight="false" outlineLevel="0" collapsed="false">
      <c r="A18" s="4" t="s">
        <v>47</v>
      </c>
      <c r="B18" s="8" t="n">
        <v>0.770369254081196</v>
      </c>
    </row>
    <row r="19" customFormat="false" ht="15" hidden="false" customHeight="false" outlineLevel="0" collapsed="false">
      <c r="A19" s="9" t="s">
        <v>48</v>
      </c>
      <c r="B19" s="10" t="str">
        <f aca="false">IF(MAX(B15:B18)&lt;4.5,"YES","NO")</f>
        <v>YES</v>
      </c>
    </row>
    <row r="21" customFormat="false" ht="15" hidden="false" customHeight="false" outlineLevel="0" collapsed="false">
      <c r="A21" s="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6.15" hidden="false" customHeight="false" outlineLevel="0" collapsed="false">
      <c r="A1" s="1" t="s">
        <v>50</v>
      </c>
    </row>
    <row r="3" customFormat="false" ht="15" hidden="false" customHeight="false" outlineLevel="0" collapsed="false">
      <c r="A3" s="3" t="s">
        <v>51</v>
      </c>
      <c r="B3" s="3" t="s">
        <v>2</v>
      </c>
      <c r="C3" s="3" t="s">
        <v>21</v>
      </c>
      <c r="D3" s="3" t="s">
        <v>52</v>
      </c>
    </row>
    <row r="4" customFormat="false" ht="15" hidden="false" customHeight="false" outlineLevel="0" collapsed="false">
      <c r="A4" s="13" t="n">
        <v>1</v>
      </c>
      <c r="B4" s="13" t="s">
        <v>53</v>
      </c>
      <c r="C4" s="13" t="s">
        <v>54</v>
      </c>
      <c r="D4" s="13" t="s">
        <v>55</v>
      </c>
    </row>
    <row r="5" customFormat="false" ht="15" hidden="false" customHeight="false" outlineLevel="0" collapsed="false">
      <c r="A5" s="13" t="n">
        <v>2</v>
      </c>
      <c r="B5" s="13" t="s">
        <v>56</v>
      </c>
      <c r="C5" s="13" t="s">
        <v>57</v>
      </c>
      <c r="D5" s="13" t="s">
        <v>58</v>
      </c>
    </row>
    <row r="6" customFormat="false" ht="26.85" hidden="false" customHeight="false" outlineLevel="0" collapsed="false">
      <c r="A6" s="13" t="n">
        <v>3</v>
      </c>
      <c r="B6" s="13" t="s">
        <v>59</v>
      </c>
      <c r="C6" s="13" t="s">
        <v>57</v>
      </c>
      <c r="D6" s="13" t="s">
        <v>60</v>
      </c>
    </row>
    <row r="7" customFormat="false" ht="26.85" hidden="false" customHeight="false" outlineLevel="0" collapsed="false">
      <c r="A7" s="13" t="n">
        <v>4</v>
      </c>
      <c r="B7" s="13" t="s">
        <v>61</v>
      </c>
      <c r="C7" s="13" t="s">
        <v>57</v>
      </c>
      <c r="D7" s="13" t="s">
        <v>62</v>
      </c>
    </row>
    <row r="8" customFormat="false" ht="15" hidden="false" customHeight="false" outlineLevel="0" collapsed="false">
      <c r="A8" s="13" t="n">
        <v>5</v>
      </c>
      <c r="B8" s="13" t="s">
        <v>63</v>
      </c>
      <c r="C8" s="13" t="s">
        <v>57</v>
      </c>
      <c r="D8" s="13" t="s">
        <v>64</v>
      </c>
    </row>
    <row r="9" customFormat="false" ht="15" hidden="false" customHeight="false" outlineLevel="0" collapsed="false">
      <c r="A9" s="13" t="n">
        <v>6</v>
      </c>
      <c r="B9" s="13" t="s">
        <v>65</v>
      </c>
      <c r="C9" s="13" t="s">
        <v>57</v>
      </c>
      <c r="D9" s="13" t="s">
        <v>66</v>
      </c>
    </row>
    <row r="10" customFormat="false" ht="15" hidden="false" customHeight="false" outlineLevel="0" collapsed="false">
      <c r="A10" s="13" t="n">
        <v>7</v>
      </c>
      <c r="B10" s="13" t="s">
        <v>67</v>
      </c>
      <c r="C10" s="13" t="s">
        <v>57</v>
      </c>
      <c r="D10" s="13" t="s">
        <v>68</v>
      </c>
    </row>
    <row r="11" customFormat="false" ht="26.85" hidden="false" customHeight="false" outlineLevel="0" collapsed="false">
      <c r="A11" s="13" t="n">
        <v>8</v>
      </c>
      <c r="B11" s="13" t="s">
        <v>69</v>
      </c>
      <c r="C11" s="13" t="s">
        <v>57</v>
      </c>
      <c r="D11" s="13" t="s">
        <v>70</v>
      </c>
    </row>
    <row r="13" customFormat="false" ht="15" hidden="false" customHeight="false" outlineLevel="0" collapsed="false">
      <c r="A13" s="9" t="s">
        <v>54</v>
      </c>
      <c r="B13" s="10" t="n">
        <f aca="false">COUNTIF(C4:C11,"Done")</f>
        <v>1</v>
      </c>
    </row>
    <row r="14" customFormat="false" ht="15" hidden="false" customHeight="false" outlineLevel="0" collapsed="false">
      <c r="A14" s="9" t="s">
        <v>57</v>
      </c>
      <c r="B14" s="10" t="n">
        <f aca="false">COUNTIF(C4:C11,"Open")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2026-10-12T00:06:14Z</dcterms:created>
  <dc:creator>openpyxl</dc:creator>
  <dc:description/>
  <dc:language>en-US</dc:language>
  <cp:lastModifiedBy/>
  <dcterms:modified xsi:type="dcterms:W3CDTF">2026-10-12T00:06:14Z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